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40" windowHeight="15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<sst xmlns="http://schemas.openxmlformats.org/spreadsheetml/2006/main" count="11" uniqueCount="11">
  <si>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token</t>
  </si>
  <si>
    <t>维度1</t>
  </si>
  <si>
    <t>维度2</t>
  </si>
  <si>
    <t>wq</t>
  </si>
  <si>
    <t>wk</t>
  </si>
  <si>
    <t>wv</t>
  </si>
  <si>
    <t>v</t>
  </si>
  <si>
    <t>Attention Weights</t>
  </si>
  <si>
    <t>小猫</t>
  </si>
  <si>
    <t>吃</t>
  </si>
  <si>
    <t>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</si>
</sst>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zoomScale="92" zoomScaleNormal="92" topLeftCell="AF1" workbookViewId="0">
      <selection activeCell="AJ4" sqref="AJ4"/>
    </sheetView>
  </sheetViews>
  <sheetFormatPr defaultColWidth="11" defaultRowHeight="17.6" outlineLevelRow="3"/>
  <cols>
    <col min="25" max="25" width="12.6666666666667"/>
    <col min="29" max="31" width="12.6666666666667"/>
    <col min="34" max="34" width="12.6666666666667"/>
  </cols>
  <sheetData>
    <row r="1" spans="1:35">
      <c r="A1" t="s">
        <v>0</v>
      </c>
      <c r="B1" t="s">
        <v>1</v>
      </c>
      <c r="C1" t="s">
        <v>2</v>
      </c>
      <c r="E1" t="s">
        <v>3</v>
      </c>
      <c r="H1" t="s">
        <v>4</v>
      </c>
      <c r="K1" t="s">
        <v>5</v>
      </c>
      <c r="R1" t="s">
        <v>6</v>
      </c>
      <c r="AC1" t="s">
        <v>7</v>
      </c>
    </row>
    <row r="2" spans="1:35">
      <c r="A2" t="s">
        <v>8</v>
      </c>
      <c r="B2">
        <v>1</v>
      </c>
      <c r="C2">
        <v>0</v>
      </c>
      <c r="E2">
        <v>1</v>
      </c>
      <c r="F2">
        <v>0</v>
      </c>
      <c r="H2">
        <v>1</v>
      </c>
      <c r="I2">
        <v>1</v>
      </c>
      <c r="K2">
        <v>1</v>
      </c>
      <c r="L2">
        <v>0</v>
      </c>
      <c r="N2" cm="1">
        <f t="array" ref="N2:O4">MMULT(B2:C4,E2:F3)</f>
        <v>1</v>
      </c>
      <c r="O2">
        <v>0</v>
      </c>
      <c r="P2" cm="1">
        <f t="array" ref="P2:Q4">MMULT(B2:C4,H2:I3)</f>
        <v>1</v>
      </c>
      <c r="Q2">
        <v>1</v>
      </c>
      <c r="R2" cm="1">
        <f t="array" ref="R2:S4">MMULT(B2:C4,K2:L3)</f>
        <v>1</v>
      </c>
      <c r="S2">
        <v>0</v>
      </c>
      <c r="U2" s="1" cm="1">
        <f t="array" ref="U2:W4">MMULT(N2:O4,TRANSPOSE(P2:Q4))</f>
        <v>1</v>
      </c>
      <c r="V2">
        <v>0</v>
      </c>
      <c r="W2">
        <v>1</v>
      </c>
      <c r="Y2" s="2" cm="1">
        <f t="array" ref="Y2:AA4">U2:W4/SQRT(2)</f>
        <v>0.707106781186547</v>
      </c>
      <c r="Z2" s="2">
        <v>0</v>
      </c>
      <c r="AA2" s="2">
        <v>0.707106781186547</v>
      </c>
      <c r="AC2" s="3" cm="1">
        <f t="array" ref="AC2">EXP(Y2)/SUM(EXP($Y2:$AA2))</f>
        <v>0.401112092679786</v>
      </c>
      <c r="AD2" s="3" cm="1">
        <f t="array" ref="AD2">EXP(Z2)/SUM(EXP($Y2:$AA2))</f>
        <v>0.197775814640428</v>
      </c>
      <c r="AE2" s="3" cm="1">
        <f t="array" ref="AE2">EXP(AA2)/SUM(EXP($Y2:$AA2))</f>
        <v>0.401112092679786</v>
      </c>
      <c r="AF2">
        <f>SUM(AC2:AE2)</f>
        <v>1</v>
      </c>
      <c r="AH2" s="2" cm="1">
        <f t="array" ref="AH2:AI4">MMULT(AC2:AE4,R2:S4)</f>
        <v>1.40111209267979</v>
      </c>
      <c r="AI2" s="2">
        <v>0.598887907320214</v>
      </c>
    </row>
    <row r="3" spans="1:35">
      <c r="A3" t="s">
        <v>9</v>
      </c>
      <c r="B3">
        <v>0</v>
      </c>
      <c r="C3">
        <v>1</v>
      </c>
      <c r="E3">
        <v>0</v>
      </c>
      <c r="F3">
        <v>1</v>
      </c>
      <c r="H3">
        <v>0</v>
      </c>
      <c r="I3">
        <v>1</v>
      </c>
      <c r="K3">
        <v>1</v>
      </c>
      <c r="L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1</v>
      </c>
      <c r="U3">
        <v>1</v>
      </c>
      <c r="V3">
        <v>1</v>
      </c>
      <c r="W3">
        <v>2</v>
      </c>
      <c r="Y3" s="2">
        <v>0.707106781186547</v>
      </c>
      <c r="Z3" s="2">
        <v>0.707106781186547</v>
      </c>
      <c r="AA3" s="2">
        <v>1.41421356237309</v>
      </c>
      <c r="AC3" s="2" cm="1">
        <f t="array" ref="AC3">EXP(Y3)/SUM(EXP($Y3:$AA3))</f>
        <v>0.248255078257723</v>
      </c>
      <c r="AD3" s="2" cm="1">
        <f t="array" ref="AD3">EXP(Z3)/SUM(EXP($Y3:$AA3))</f>
        <v>0.248255078257723</v>
      </c>
      <c r="AE3" s="2" cm="1">
        <f t="array" ref="AE3">EXP(AA3)/SUM(EXP($Y3:$AA3))</f>
        <v>0.503489843484554</v>
      </c>
      <c r="AF3">
        <f>SUM(AC3:AE3)</f>
        <v>1</v>
      </c>
      <c r="AH3" s="2">
        <v>1.50348984348455</v>
      </c>
      <c r="AI3" s="2">
        <v>0.751744921742277</v>
      </c>
    </row>
    <row r="4" spans="1:35">
      <c r="A4" t="s">
        <v>10</v>
      </c>
      <c r="B4">
        <v>1</v>
      </c>
      <c r="C4">
        <v>1</v>
      </c>
      <c r="N4">
        <v>1</v>
      </c>
      <c r="O4">
        <v>1</v>
      </c>
      <c r="P4">
        <v>1</v>
      </c>
      <c r="Q4">
        <v>2</v>
      </c>
      <c r="R4">
        <v>2</v>
      </c>
      <c r="S4">
        <v>1</v>
      </c>
      <c r="U4">
        <v>2</v>
      </c>
      <c r="V4">
        <v>1</v>
      </c>
      <c r="W4">
        <v>3</v>
      </c>
      <c r="Y4" s="2">
        <v>1.41421356237309</v>
      </c>
      <c r="Z4" s="2">
        <v>0.707106781186547</v>
      </c>
      <c r="AA4" s="2">
        <v>2.12132034355964</v>
      </c>
      <c r="AC4" s="2" cm="1">
        <f t="array" ref="AC4">EXP(Y4)/SUM(EXP($Y4:$AA4))</f>
        <v>0.28399540974126</v>
      </c>
      <c r="AD4" s="2" cm="1">
        <f t="array" ref="AD4">EXP(Z4)/SUM(EXP($Y4:$AA4))</f>
        <v>0.140029245043378</v>
      </c>
      <c r="AE4" s="2" cm="1">
        <f t="array" ref="AE4">EXP(AA4)/SUM(EXP($Y4:$AA4))</f>
        <v>0.575975345215362</v>
      </c>
      <c r="AF4">
        <f>SUM(AC4:AE4)</f>
        <v>1</v>
      </c>
      <c r="AH4" s="2">
        <v>1.57597534521536</v>
      </c>
      <c r="AI4" s="2">
        <v>0.71600459025874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2797912986@qq.com</dc:creator>
  <cp:lastModifiedBy>云泽</cp:lastModifiedBy>
  <dcterms:created xsi:type="dcterms:W3CDTF">2026-10-09T14:39:00Z</dcterms:created>
  <dcterms:modified xsi:type="dcterms:W3CDTF">2026-10-10T14:56:52Z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00FD9C481A649DE4B4E1C96A393912C9_42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